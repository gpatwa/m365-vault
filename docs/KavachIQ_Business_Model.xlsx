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 Comparison" sheetId="1" state="visible" r:id="rId1"/>
    <sheet name="Azure OPEX" sheetId="2" state="visible" r:id="rId2"/>
    <sheet name="Margin Analysis" sheetId="3" state="visible" r:id="rId3"/>
    <sheet name="Growth Projections" sheetId="4" state="visible" r:id="rId4"/>
    <sheet name="MSP Channel" sheetId="5" state="visible" r:id="rId5"/>
    <sheet name="Unit Econom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7" customWidth="1" min="3" max="3"/>
    <col width="15" customWidth="1" min="4" max="4"/>
    <col width="19" customWidth="1" min="5" max="5"/>
    <col width="29" customWidth="1" min="6" max="6"/>
    <col width="20" customWidth="1" min="7" max="7"/>
    <col width="21" customWidth="1" min="8" max="8"/>
  </cols>
  <sheetData>
    <row r="1">
      <c r="A1" s="1" t="inlineStr">
        <is>
          <t>Vendor</t>
        </is>
      </c>
      <c r="B1" s="1" t="inlineStr">
        <is>
          <t>Tier</t>
        </is>
      </c>
      <c r="C1" s="1" t="inlineStr">
        <is>
          <t>Price/User/Mo</t>
        </is>
      </c>
      <c r="D1" s="1" t="inlineStr">
        <is>
          <t>Annual/User</t>
        </is>
      </c>
      <c r="E1" s="1" t="inlineStr">
        <is>
          <t>Entra ID Backup</t>
        </is>
      </c>
      <c r="F1" s="1" t="inlineStr">
        <is>
          <t>Intelligence/AI</t>
        </is>
      </c>
      <c r="G1" s="1" t="inlineStr">
        <is>
          <t>Recovery Plans</t>
        </is>
      </c>
      <c r="H1" s="1" t="inlineStr">
        <is>
          <t>Storage Model</t>
        </is>
      </c>
    </row>
    <row r="2">
      <c r="A2" s="2" t="inlineStr">
        <is>
          <t>KavachIQ</t>
        </is>
      </c>
      <c r="B2" s="2" t="inlineStr">
        <is>
          <t>Community (Free)</t>
        </is>
      </c>
      <c r="C2" s="3" t="n">
        <v>0</v>
      </c>
      <c r="D2" s="3" t="n">
        <v>0</v>
      </c>
      <c r="E2" s="2" t="inlineStr">
        <is>
          <t>Yes (full)</t>
        </is>
      </c>
      <c r="F2" s="2" t="inlineStr">
        <is>
          <t>Basic Smart Engine</t>
        </is>
      </c>
      <c r="G2" s="2" t="inlineStr">
        <is>
          <t>No</t>
        </is>
      </c>
      <c r="H2" s="2" t="inlineStr">
        <is>
          <t>KavachIQ Storage</t>
        </is>
      </c>
    </row>
    <row r="3">
      <c r="A3" s="2" t="inlineStr">
        <is>
          <t>KavachIQ</t>
        </is>
      </c>
      <c r="B3" s="2" t="inlineStr">
        <is>
          <t>Professional</t>
        </is>
      </c>
      <c r="C3" s="3" t="n">
        <v>1.5</v>
      </c>
      <c r="D3" s="3" t="n">
        <v>16.2</v>
      </c>
      <c r="E3" s="2" t="inlineStr">
        <is>
          <t>Yes (full)</t>
        </is>
      </c>
      <c r="F3" s="2" t="inlineStr">
        <is>
          <t>Full Smart Engine</t>
        </is>
      </c>
      <c r="G3" s="2" t="inlineStr">
        <is>
          <t>No</t>
        </is>
      </c>
      <c r="H3" s="2" t="inlineStr">
        <is>
          <t>KavachIQ Storage</t>
        </is>
      </c>
    </row>
    <row r="4">
      <c r="A4" s="2" t="inlineStr">
        <is>
          <t>KavachIQ</t>
        </is>
      </c>
      <c r="B4" s="2" t="inlineStr">
        <is>
          <t>Business</t>
        </is>
      </c>
      <c r="C4" s="3" t="n">
        <v>3</v>
      </c>
      <c r="D4" s="3" t="n">
        <v>32.4</v>
      </c>
      <c r="E4" s="2" t="inlineStr">
        <is>
          <t>Yes (full)</t>
        </is>
      </c>
      <c r="F4" s="2" t="inlineStr">
        <is>
          <t>Org Context + Criticality</t>
        </is>
      </c>
      <c r="G4" s="2" t="inlineStr">
        <is>
          <t>MVB Plans</t>
        </is>
      </c>
      <c r="H4" s="2" t="inlineStr">
        <is>
          <t>KavachIQ Storage</t>
        </is>
      </c>
    </row>
    <row r="5">
      <c r="A5" s="2" t="inlineStr">
        <is>
          <t>KavachIQ</t>
        </is>
      </c>
      <c r="B5" s="2" t="inlineStr">
        <is>
          <t>Enterprise</t>
        </is>
      </c>
      <c r="C5" s="3" t="n">
        <v>5</v>
      </c>
      <c r="D5" s="3" t="n">
        <v>54</v>
      </c>
      <c r="E5" s="2" t="inlineStr">
        <is>
          <t>Yes (full)</t>
        </is>
      </c>
      <c r="F5" s="2" t="inlineStr">
        <is>
          <t>Full + Agentic Recovery</t>
        </is>
      </c>
      <c r="G5" s="2" t="inlineStr">
        <is>
          <t>Full + Cleanroom</t>
        </is>
      </c>
      <c r="H5" s="2" t="inlineStr">
        <is>
          <t>KavachIQ Storage</t>
        </is>
      </c>
    </row>
    <row r="6">
      <c r="A6" s="4" t="inlineStr">
        <is>
          <t>Microsoft Native</t>
        </is>
      </c>
      <c r="B6" s="4" t="inlineStr">
        <is>
          <t>Backup Storage</t>
        </is>
      </c>
      <c r="C6" s="5" t="n">
        <v>0.15</v>
      </c>
      <c r="D6" s="4" t="inlineStr">
        <is>
          <t>Per GB</t>
        </is>
      </c>
      <c r="E6" s="4" t="inlineStr">
        <is>
          <t>No</t>
        </is>
      </c>
      <c r="F6" s="4" t="inlineStr">
        <is>
          <t>None</t>
        </is>
      </c>
      <c r="G6" s="4" t="inlineStr">
        <is>
          <t>No</t>
        </is>
      </c>
      <c r="H6" s="4" t="inlineStr">
        <is>
          <t>Microsoft Storage</t>
        </is>
      </c>
    </row>
    <row r="7">
      <c r="A7" s="4" t="inlineStr">
        <is>
          <t>Veeam</t>
        </is>
      </c>
      <c r="B7" s="4" t="inlineStr">
        <is>
          <t>Data Cloud</t>
        </is>
      </c>
      <c r="C7" s="5" t="n">
        <v>3.5</v>
      </c>
      <c r="D7" s="5" t="n">
        <v>42</v>
      </c>
      <c r="E7" s="4" t="inlineStr">
        <is>
          <t>No</t>
        </is>
      </c>
      <c r="F7" s="4" t="inlineStr">
        <is>
          <t>Basic</t>
        </is>
      </c>
      <c r="G7" s="4" t="inlineStr">
        <is>
          <t>No</t>
        </is>
      </c>
      <c r="H7" s="4" t="inlineStr">
        <is>
          <t>Veeam Cloud</t>
        </is>
      </c>
    </row>
    <row r="8">
      <c r="A8" s="4" t="inlineStr">
        <is>
          <t>Veeam</t>
        </is>
      </c>
      <c r="B8" s="4" t="inlineStr">
        <is>
          <t>Software</t>
        </is>
      </c>
      <c r="C8" s="5" t="n">
        <v>1.8</v>
      </c>
      <c r="D8" s="5" t="n">
        <v>21.6</v>
      </c>
      <c r="E8" s="4" t="inlineStr">
        <is>
          <t>No</t>
        </is>
      </c>
      <c r="F8" s="4" t="inlineStr">
        <is>
          <t>None</t>
        </is>
      </c>
      <c r="G8" s="4" t="inlineStr">
        <is>
          <t>No</t>
        </is>
      </c>
      <c r="H8" s="4" t="inlineStr">
        <is>
          <t>Customer Storage</t>
        </is>
      </c>
    </row>
    <row r="9">
      <c r="A9" s="4" t="inlineStr">
        <is>
          <t>Druva</t>
        </is>
      </c>
      <c r="B9" s="4" t="inlineStr">
        <is>
          <t>inSync</t>
        </is>
      </c>
      <c r="C9" s="5" t="n">
        <v>4</v>
      </c>
      <c r="D9" s="5" t="n">
        <v>48</v>
      </c>
      <c r="E9" s="4" t="inlineStr">
        <is>
          <t>Partial</t>
        </is>
      </c>
      <c r="F9" s="4" t="inlineStr">
        <is>
          <t>Premium</t>
        </is>
      </c>
      <c r="G9" s="4" t="inlineStr">
        <is>
          <t>No</t>
        </is>
      </c>
      <c r="H9" s="4" t="inlineStr">
        <is>
          <t>Druva Cloud</t>
        </is>
      </c>
    </row>
    <row r="10">
      <c r="A10" s="4" t="inlineStr">
        <is>
          <t>Druva</t>
        </is>
      </c>
      <c r="B10" s="4" t="inlineStr">
        <is>
          <t>Elite</t>
        </is>
      </c>
      <c r="C10" s="5" t="n">
        <v>7</v>
      </c>
      <c r="D10" s="5" t="n">
        <v>84</v>
      </c>
      <c r="E10" s="4" t="inlineStr">
        <is>
          <t>Partial</t>
        </is>
      </c>
      <c r="F10" s="4" t="inlineStr">
        <is>
          <t>Premium</t>
        </is>
      </c>
      <c r="G10" s="4" t="inlineStr">
        <is>
          <t>No</t>
        </is>
      </c>
      <c r="H10" s="4" t="inlineStr">
        <is>
          <t>Druva Cloud</t>
        </is>
      </c>
    </row>
    <row r="11">
      <c r="A11" s="4" t="inlineStr">
        <is>
          <t>Datto</t>
        </is>
      </c>
      <c r="B11" s="4" t="inlineStr">
        <is>
          <t>Backupify</t>
        </is>
      </c>
      <c r="C11" s="5" t="n">
        <v>5</v>
      </c>
      <c r="D11" s="5" t="n">
        <v>60</v>
      </c>
      <c r="E11" s="4" t="inlineStr">
        <is>
          <t>No</t>
        </is>
      </c>
      <c r="F11" s="4" t="inlineStr">
        <is>
          <t>None</t>
        </is>
      </c>
      <c r="G11" s="4" t="inlineStr">
        <is>
          <t>No</t>
        </is>
      </c>
      <c r="H11" s="4" t="inlineStr">
        <is>
          <t>Datto Cloud</t>
        </is>
      </c>
    </row>
    <row r="12">
      <c r="A12" s="4" t="inlineStr">
        <is>
          <t>Rubrik</t>
        </is>
      </c>
      <c r="B12" s="4" t="inlineStr">
        <is>
          <t>M365 Protection</t>
        </is>
      </c>
      <c r="C12" s="5" t="n">
        <v>8</v>
      </c>
      <c r="D12" s="5" t="n">
        <v>96</v>
      </c>
      <c r="E12" s="4" t="inlineStr">
        <is>
          <t>Partial</t>
        </is>
      </c>
      <c r="F12" s="4" t="inlineStr">
        <is>
          <t>Premium</t>
        </is>
      </c>
      <c r="G12" s="4" t="inlineStr">
        <is>
          <t>Yes</t>
        </is>
      </c>
      <c r="H12" s="4" t="inlineStr">
        <is>
          <t>Rubrik Cloud</t>
        </is>
      </c>
    </row>
    <row r="13">
      <c r="A13" s="4" t="inlineStr">
        <is>
          <t>Commvault</t>
        </is>
      </c>
      <c r="B13" s="4" t="inlineStr">
        <is>
          <t>Cloud</t>
        </is>
      </c>
      <c r="C13" s="5" t="n">
        <v>5</v>
      </c>
      <c r="D13" s="5" t="n">
        <v>60</v>
      </c>
      <c r="E13" s="4" t="inlineStr">
        <is>
          <t>Partial</t>
        </is>
      </c>
      <c r="F13" s="4" t="inlineStr">
        <is>
          <t>Yes</t>
        </is>
      </c>
      <c r="G13" s="4" t="inlineStr">
        <is>
          <t>Yes</t>
        </is>
      </c>
      <c r="H13" s="4" t="inlineStr">
        <is>
          <t>Commvault Cloud</t>
        </is>
      </c>
    </row>
    <row r="14">
      <c r="A14" s="4" t="inlineStr">
        <is>
          <t>AvePoint</t>
        </is>
      </c>
      <c r="B14" s="4" t="inlineStr">
        <is>
          <t>Cloud Backup</t>
        </is>
      </c>
      <c r="C14" s="5" t="n">
        <v>4</v>
      </c>
      <c r="D14" s="5" t="n">
        <v>48</v>
      </c>
      <c r="E14" s="4" t="inlineStr">
        <is>
          <t>No</t>
        </is>
      </c>
      <c r="F14" s="4" t="inlineStr">
        <is>
          <t>None</t>
        </is>
      </c>
      <c r="G14" s="4" t="inlineStr">
        <is>
          <t>No</t>
        </is>
      </c>
      <c r="H14" s="4" t="inlineStr">
        <is>
          <t>AvePoint Cloud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6" customWidth="1" min="3" max="3"/>
    <col width="19" customWidth="1" min="4" max="4"/>
    <col width="22" customWidth="1" min="5" max="5"/>
    <col width="16" customWidth="1" min="6" max="6"/>
    <col width="30" customWidth="1" min="7" max="7"/>
  </cols>
  <sheetData>
    <row r="1">
      <c r="A1" s="1" t="inlineStr">
        <is>
          <t>Resource</t>
        </is>
      </c>
      <c r="B1" s="1" t="inlineStr">
        <is>
          <t>Dev SKU</t>
        </is>
      </c>
      <c r="C1" s="1" t="inlineStr">
        <is>
          <t>Dev Monthly</t>
        </is>
      </c>
      <c r="D1" s="1" t="inlineStr">
        <is>
          <t>Staging Monthly</t>
        </is>
      </c>
      <c r="E1" s="1" t="inlineStr">
        <is>
          <t>Prod SKU</t>
        </is>
      </c>
      <c r="F1" s="1" t="inlineStr">
        <is>
          <t>Prod Monthly</t>
        </is>
      </c>
      <c r="G1" s="1" t="inlineStr">
        <is>
          <t>Notes</t>
        </is>
      </c>
    </row>
    <row r="2">
      <c r="A2" s="4" t="inlineStr">
        <is>
          <t>PostgreSQL Flexible Server</t>
        </is>
      </c>
      <c r="B2" s="4" t="inlineStr">
        <is>
          <t>B_Standard_B1ms</t>
        </is>
      </c>
      <c r="C2" s="5" t="n">
        <v>20</v>
      </c>
      <c r="D2" s="5" t="n">
        <v>20</v>
      </c>
      <c r="E2" s="4" t="inlineStr">
        <is>
          <t>GP_Standard_D2s_v3</t>
        </is>
      </c>
      <c r="F2" s="5" t="n">
        <v>165</v>
      </c>
      <c r="G2" s="4" t="inlineStr">
        <is>
          <t>Can stop with make az-sleep</t>
        </is>
      </c>
    </row>
    <row r="3">
      <c r="A3" s="4" t="inlineStr">
        <is>
          <t>Redis Cache</t>
        </is>
      </c>
      <c r="B3" s="4" t="inlineStr">
        <is>
          <t>Basic C0</t>
        </is>
      </c>
      <c r="C3" s="5" t="n">
        <v>16</v>
      </c>
      <c r="D3" s="5" t="n">
        <v>16</v>
      </c>
      <c r="E3" s="4" t="inlineStr">
        <is>
          <t>Standard C1</t>
        </is>
      </c>
      <c r="F3" s="5" t="n">
        <v>75</v>
      </c>
      <c r="G3" s="4" t="inlineStr">
        <is>
          <t>Cannot be stopped/paused</t>
        </is>
      </c>
    </row>
    <row r="4">
      <c r="A4" s="4" t="inlineStr">
        <is>
          <t>Container App - Backend</t>
        </is>
      </c>
      <c r="B4" s="4" t="inlineStr">
        <is>
          <t>0.5 vCPU, 1Gi</t>
        </is>
      </c>
      <c r="C4" s="5" t="n">
        <v>18</v>
      </c>
      <c r="D4" s="5" t="n">
        <v>0</v>
      </c>
      <c r="E4" s="4" t="inlineStr">
        <is>
          <t>1 vCPU, 2Gi (x2)</t>
        </is>
      </c>
      <c r="F4" s="5" t="n">
        <v>55</v>
      </c>
      <c r="G4" s="4" t="inlineStr">
        <is>
          <t>Staging scales to zero</t>
        </is>
      </c>
    </row>
    <row r="5">
      <c r="A5" s="4" t="inlineStr">
        <is>
          <t>Container App - Worker</t>
        </is>
      </c>
      <c r="B5" s="4" t="inlineStr">
        <is>
          <t>0.5 vCPU, 1Gi</t>
        </is>
      </c>
      <c r="C5" s="5" t="n">
        <v>18</v>
      </c>
      <c r="D5" s="5" t="n">
        <v>0</v>
      </c>
      <c r="E5" s="4" t="inlineStr">
        <is>
          <t>1 vCPU, 2Gi (x2)</t>
        </is>
      </c>
      <c r="F5" s="5" t="n">
        <v>55</v>
      </c>
      <c r="G5" s="4" t="inlineStr">
        <is>
          <t>Staging scales to zero</t>
        </is>
      </c>
    </row>
    <row r="6">
      <c r="A6" s="4" t="inlineStr">
        <is>
          <t>Container App - Frontend</t>
        </is>
      </c>
      <c r="B6" s="4" t="inlineStr">
        <is>
          <t>0.25 vCPU, 0.5Gi</t>
        </is>
      </c>
      <c r="C6" s="5" t="n">
        <v>3</v>
      </c>
      <c r="D6" s="5" t="n">
        <v>0</v>
      </c>
      <c r="E6" s="4" t="inlineStr">
        <is>
          <t>0.25 vCPU, 0.5Gi</t>
        </is>
      </c>
      <c r="F6" s="5" t="n">
        <v>3</v>
      </c>
      <c r="G6" s="4" t="inlineStr">
        <is>
          <t>Scale-to-zero everywhere</t>
        </is>
      </c>
    </row>
    <row r="7">
      <c r="A7" s="4" t="inlineStr">
        <is>
          <t>Log Analytics</t>
        </is>
      </c>
      <c r="B7" s="4" t="inlineStr">
        <is>
          <t>PerGB2018</t>
        </is>
      </c>
      <c r="C7" s="5" t="n">
        <v>15</v>
      </c>
      <c r="D7" s="5" t="n">
        <v>10</v>
      </c>
      <c r="E7" s="4" t="inlineStr">
        <is>
          <t>PerGB2018</t>
        </is>
      </c>
      <c r="F7" s="5" t="n">
        <v>50</v>
      </c>
      <c r="G7" s="4" t="inlineStr">
        <is>
          <t>30-day retention</t>
        </is>
      </c>
    </row>
    <row r="8">
      <c r="A8" s="4" t="inlineStr">
        <is>
          <t>Container Registry</t>
        </is>
      </c>
      <c r="B8" s="4" t="inlineStr">
        <is>
          <t>Basic</t>
        </is>
      </c>
      <c r="C8" s="5" t="n">
        <v>5</v>
      </c>
      <c r="D8" s="5" t="n">
        <v>5</v>
      </c>
      <c r="E8" s="4" t="inlineStr">
        <is>
          <t>Standard</t>
        </is>
      </c>
      <c r="F8" s="5" t="n">
        <v>20</v>
      </c>
      <c r="G8" s="4" t="inlineStr">
        <is>
          <t>Docker image storage</t>
        </is>
      </c>
    </row>
    <row r="9">
      <c r="A9" s="4" t="inlineStr">
        <is>
          <t>Storage Account</t>
        </is>
      </c>
      <c r="B9" s="4" t="inlineStr">
        <is>
          <t>Standard LRS</t>
        </is>
      </c>
      <c r="C9" s="5" t="n">
        <v>3</v>
      </c>
      <c r="D9" s="5" t="n">
        <v>3</v>
      </c>
      <c r="E9" s="4" t="inlineStr">
        <is>
          <t>Standard GRS</t>
        </is>
      </c>
      <c r="F9" s="5" t="n">
        <v>8</v>
      </c>
      <c r="G9" s="4" t="inlineStr">
        <is>
          <t>Backup blob storage</t>
        </is>
      </c>
    </row>
    <row r="10">
      <c r="A10" s="4" t="inlineStr">
        <is>
          <t>Key Vault</t>
        </is>
      </c>
      <c r="B10" s="4" t="inlineStr">
        <is>
          <t>Standard</t>
        </is>
      </c>
      <c r="C10" s="5" t="n">
        <v>0</v>
      </c>
      <c r="D10" s="5" t="n">
        <v>0</v>
      </c>
      <c r="E10" s="4" t="inlineStr">
        <is>
          <t>Standard</t>
        </is>
      </c>
      <c r="F10" s="5" t="n">
        <v>0</v>
      </c>
      <c r="G10" s="4" t="inlineStr">
        <is>
          <t>Free at low volume</t>
        </is>
      </c>
    </row>
    <row r="11">
      <c r="A11" s="4" t="inlineStr">
        <is>
          <t>Resend (Email)</t>
        </is>
      </c>
      <c r="B11" s="4" t="inlineStr">
        <is>
          <t>Free tier</t>
        </is>
      </c>
      <c r="C11" s="5" t="n">
        <v>0</v>
      </c>
      <c r="D11" s="5" t="n">
        <v>0</v>
      </c>
      <c r="E11" s="4" t="inlineStr">
        <is>
          <t>Pro</t>
        </is>
      </c>
      <c r="F11" s="5" t="n">
        <v>20</v>
      </c>
      <c r="G11" s="4" t="inlineStr">
        <is>
          <t>3k emails free</t>
        </is>
      </c>
    </row>
    <row r="12">
      <c r="A12" s="4" t="inlineStr">
        <is>
          <t>Stripe</t>
        </is>
      </c>
      <c r="B12" s="4" t="inlineStr">
        <is>
          <t>Pay per txn</t>
        </is>
      </c>
      <c r="C12" s="5" t="n">
        <v>0</v>
      </c>
      <c r="D12" s="5" t="n">
        <v>0</v>
      </c>
      <c r="E12" s="4" t="inlineStr">
        <is>
          <t>2.9% + $0.30</t>
        </is>
      </c>
      <c r="F12" s="5" t="n">
        <v>0</v>
      </c>
      <c r="G12" s="4" t="inlineStr">
        <is>
          <t>Variable per transaction</t>
        </is>
      </c>
    </row>
    <row r="13">
      <c r="A13" s="4" t="inlineStr">
        <is>
          <t>Cloudflare DNS</t>
        </is>
      </c>
      <c r="B13" s="4" t="inlineStr">
        <is>
          <t>Domain</t>
        </is>
      </c>
      <c r="C13" s="5" t="n">
        <v>1</v>
      </c>
      <c r="D13" s="5" t="n">
        <v>1</v>
      </c>
      <c r="E13" s="4" t="inlineStr">
        <is>
          <t>Domain</t>
        </is>
      </c>
      <c r="F13" s="5" t="n">
        <v>1</v>
      </c>
      <c r="G13" s="4" t="inlineStr">
        <is>
          <t>~$12/yr</t>
        </is>
      </c>
    </row>
    <row r="14">
      <c r="A14" s="6" t="inlineStr">
        <is>
          <t>TOTAL (Running)</t>
        </is>
      </c>
      <c r="B14" s="6" t="inlineStr"/>
      <c r="C14" s="6">
        <f>SUM(C2:C13)</f>
        <v/>
      </c>
      <c r="D14" s="6">
        <f>SUM(D2:D13)</f>
        <v/>
      </c>
      <c r="E14" s="6" t="inlineStr"/>
      <c r="F14" s="6">
        <f>SUM(F2:F13)</f>
        <v/>
      </c>
      <c r="G14" s="6" t="inlineStr"/>
    </row>
    <row r="15">
      <c r="A15" s="4" t="inlineStr">
        <is>
          <t>TOTAL (Sleeping)</t>
        </is>
      </c>
      <c r="B15" s="4" t="inlineStr"/>
      <c r="C15" s="5" t="n">
        <v>22</v>
      </c>
      <c r="D15" s="5" t="n">
        <v>22</v>
      </c>
      <c r="E15" s="4" t="inlineStr"/>
      <c r="F15" s="4" t="inlineStr">
        <is>
          <t>N/A</t>
        </is>
      </c>
      <c r="G15" s="4" t="inlineStr">
        <is>
          <t>Redis+Storage+ACR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14" customWidth="1" min="4" max="4"/>
    <col width="19" customWidth="1" min="5" max="5"/>
    <col width="14" customWidth="1" min="6" max="6"/>
    <col width="25" customWidth="1" min="7" max="7"/>
    <col width="16" customWidth="1" min="8" max="8"/>
    <col width="21" customWidth="1" min="9" max="9"/>
  </cols>
  <sheetData>
    <row r="1">
      <c r="A1" s="1" t="inlineStr">
        <is>
          <t>Scenario</t>
        </is>
      </c>
      <c r="B1" s="1" t="inlineStr">
        <is>
          <t>Users</t>
        </is>
      </c>
      <c r="C1" s="1" t="inlineStr">
        <is>
          <t>Tier</t>
        </is>
      </c>
      <c r="D1" s="1" t="inlineStr">
        <is>
          <t>Price/User</t>
        </is>
      </c>
      <c r="E1" s="1" t="inlineStr">
        <is>
          <t>Monthly Revenue</t>
        </is>
      </c>
      <c r="F1" s="1" t="inlineStr">
        <is>
          <t>Infra Cost</t>
        </is>
      </c>
      <c r="G1" s="1" t="inlineStr">
        <is>
          <t>Stripe Fee (4.4-7.3%)</t>
        </is>
      </c>
      <c r="H1" s="1" t="inlineStr">
        <is>
          <t>Gross Profit</t>
        </is>
      </c>
      <c r="I1" s="1" t="inlineStr">
        <is>
          <t>Gross Margin %</t>
        </is>
      </c>
    </row>
    <row r="2">
      <c r="A2" s="4" t="inlineStr">
        <is>
          <t>Solo Startup</t>
        </is>
      </c>
      <c r="B2" s="4" t="n">
        <v>25</v>
      </c>
      <c r="C2" s="4" t="inlineStr">
        <is>
          <t>Community</t>
        </is>
      </c>
      <c r="D2" s="5" t="n">
        <v>0</v>
      </c>
      <c r="E2" s="4">
        <f>B2*D2</f>
        <v/>
      </c>
      <c r="F2" s="5" t="n">
        <v>35</v>
      </c>
      <c r="G2" s="4">
        <f>E2*0.053</f>
        <v/>
      </c>
      <c r="H2" s="4">
        <f>E2-F2-G2</f>
        <v/>
      </c>
      <c r="I2" s="4">
        <f>IF(E2=0,0,H2/E2)</f>
        <v/>
      </c>
    </row>
    <row r="3">
      <c r="A3" s="4" t="inlineStr">
        <is>
          <t>Small SMB</t>
        </is>
      </c>
      <c r="B3" s="4" t="n">
        <v>50</v>
      </c>
      <c r="C3" s="4" t="inlineStr">
        <is>
          <t>Professional</t>
        </is>
      </c>
      <c r="D3" s="5" t="n">
        <v>1.5</v>
      </c>
      <c r="E3" s="4">
        <f>B3*D3</f>
        <v/>
      </c>
      <c r="F3" s="5" t="n">
        <v>35</v>
      </c>
      <c r="G3" s="4">
        <f>E3*0.053</f>
        <v/>
      </c>
      <c r="H3" s="4">
        <f>E3-F3-G3</f>
        <v/>
      </c>
      <c r="I3" s="4">
        <f>IF(E3=0,0,H3/E3)</f>
        <v/>
      </c>
    </row>
    <row r="4">
      <c r="A4" s="4" t="inlineStr">
        <is>
          <t>Growing SMB</t>
        </is>
      </c>
      <c r="B4" s="4" t="n">
        <v>100</v>
      </c>
      <c r="C4" s="4" t="inlineStr">
        <is>
          <t>Professional</t>
        </is>
      </c>
      <c r="D4" s="5" t="n">
        <v>1.5</v>
      </c>
      <c r="E4" s="4">
        <f>B4*D4</f>
        <v/>
      </c>
      <c r="F4" s="5" t="n">
        <v>55</v>
      </c>
      <c r="G4" s="4">
        <f>E4*0.053</f>
        <v/>
      </c>
      <c r="H4" s="4">
        <f>E4-F4-G4</f>
        <v/>
      </c>
      <c r="I4" s="4">
        <f>IF(E4=0,0,H4/E4)</f>
        <v/>
      </c>
    </row>
    <row r="5">
      <c r="A5" s="4" t="inlineStr">
        <is>
          <t>Mid-Market</t>
        </is>
      </c>
      <c r="B5" s="4" t="n">
        <v>200</v>
      </c>
      <c r="C5" s="4" t="inlineStr">
        <is>
          <t>Business</t>
        </is>
      </c>
      <c r="D5" s="5" t="n">
        <v>3</v>
      </c>
      <c r="E5" s="4">
        <f>B5*D5</f>
        <v/>
      </c>
      <c r="F5" s="5" t="n">
        <v>110</v>
      </c>
      <c r="G5" s="4">
        <f>E5*0.053</f>
        <v/>
      </c>
      <c r="H5" s="4">
        <f>E5-F5-G5</f>
        <v/>
      </c>
      <c r="I5" s="4">
        <f>IF(E5=0,0,H5/E5)</f>
        <v/>
      </c>
    </row>
    <row r="6">
      <c r="A6" s="4" t="inlineStr">
        <is>
          <t>Enterprise</t>
        </is>
      </c>
      <c r="B6" s="4" t="n">
        <v>500</v>
      </c>
      <c r="C6" s="4" t="inlineStr">
        <is>
          <t>Business</t>
        </is>
      </c>
      <c r="D6" s="5" t="n">
        <v>3</v>
      </c>
      <c r="E6" s="4">
        <f>B6*D6</f>
        <v/>
      </c>
      <c r="F6" s="5" t="n">
        <v>200</v>
      </c>
      <c r="G6" s="4">
        <f>E6*0.053</f>
        <v/>
      </c>
      <c r="H6" s="4">
        <f>E6-F6-G6</f>
        <v/>
      </c>
      <c r="I6" s="4">
        <f>IF(E6=0,0,H6/E6)</f>
        <v/>
      </c>
    </row>
    <row r="7">
      <c r="A7" s="4" t="inlineStr">
        <is>
          <t>Large Enterprise</t>
        </is>
      </c>
      <c r="B7" s="4" t="n">
        <v>1000</v>
      </c>
      <c r="C7" s="4" t="inlineStr">
        <is>
          <t>Enterprise</t>
        </is>
      </c>
      <c r="D7" s="5" t="n">
        <v>5</v>
      </c>
      <c r="E7" s="4">
        <f>B7*D7</f>
        <v/>
      </c>
      <c r="F7" s="5" t="n">
        <v>445</v>
      </c>
      <c r="G7" s="4">
        <f>E7*0.053</f>
        <v/>
      </c>
      <c r="H7" s="4">
        <f>E7-F7-G7</f>
        <v/>
      </c>
      <c r="I7" s="4">
        <f>IF(E7=0,0,H7/E7)</f>
        <v/>
      </c>
    </row>
    <row r="8">
      <c r="A8" s="4" t="inlineStr">
        <is>
          <t>MSP (10 clients)</t>
        </is>
      </c>
      <c r="B8" s="4" t="n">
        <v>2000</v>
      </c>
      <c r="C8" s="4" t="inlineStr">
        <is>
          <t>Wholesale</t>
        </is>
      </c>
      <c r="D8" s="5" t="n">
        <v>1.25</v>
      </c>
      <c r="E8" s="4">
        <f>B8*D8</f>
        <v/>
      </c>
      <c r="F8" s="5" t="n">
        <v>445</v>
      </c>
      <c r="G8" s="4">
        <f>E8*0.053</f>
        <v/>
      </c>
      <c r="H8" s="4">
        <f>E8-F8-G8</f>
        <v/>
      </c>
      <c r="I8" s="4">
        <f>IF(E8=0,0,H8/E8)</f>
        <v/>
      </c>
    </row>
    <row r="9">
      <c r="A9" s="4" t="inlineStr">
        <is>
          <t>MSP (40 clients)</t>
        </is>
      </c>
      <c r="B9" s="4" t="n">
        <v>8000</v>
      </c>
      <c r="C9" s="4" t="inlineStr">
        <is>
          <t>Wholesale</t>
        </is>
      </c>
      <c r="D9" s="5" t="n">
        <v>0.85</v>
      </c>
      <c r="E9" s="4">
        <f>B9*D9</f>
        <v/>
      </c>
      <c r="F9" s="5" t="n">
        <v>900</v>
      </c>
      <c r="G9" s="4">
        <f>E9*0.053</f>
        <v/>
      </c>
      <c r="H9" s="4">
        <f>E9-F9-G9</f>
        <v/>
      </c>
      <c r="I9" s="4">
        <f>IF(E9=0,0,H9/E9)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6" customWidth="1" min="3" max="3"/>
    <col width="15" customWidth="1" min="4" max="4"/>
    <col width="15" customWidth="1" min="5" max="5"/>
    <col width="9" customWidth="1" min="6" max="6"/>
    <col width="11" customWidth="1" min="7" max="7"/>
    <col width="14" customWidth="1" min="8" max="8"/>
    <col width="30" customWidth="1" min="9" max="9"/>
  </cols>
  <sheetData>
    <row r="1">
      <c r="A1" s="1" t="inlineStr">
        <is>
          <t>Month</t>
        </is>
      </c>
      <c r="B1" s="1" t="inlineStr">
        <is>
          <t>Direct Customers</t>
        </is>
      </c>
      <c r="C1" s="1" t="inlineStr">
        <is>
          <t>MSP Partners</t>
        </is>
      </c>
      <c r="D1" s="1" t="inlineStr">
        <is>
          <t>MSP Tenants</t>
        </is>
      </c>
      <c r="E1" s="1" t="inlineStr">
        <is>
          <t>Total Users</t>
        </is>
      </c>
      <c r="F1" s="1" t="inlineStr">
        <is>
          <t>MRR</t>
        </is>
      </c>
      <c r="G1" s="1" t="inlineStr">
        <is>
          <t>ARR</t>
        </is>
      </c>
      <c r="H1" s="1" t="inlineStr">
        <is>
          <t>Infra Cost</t>
        </is>
      </c>
      <c r="I1" s="1" t="inlineStr">
        <is>
          <t>Net Margin %</t>
        </is>
      </c>
    </row>
    <row r="2">
      <c r="A2" s="4" t="n">
        <v>1</v>
      </c>
      <c r="B2" s="4" t="n">
        <v>2</v>
      </c>
      <c r="C2" s="4" t="n">
        <v>0</v>
      </c>
      <c r="D2" s="4" t="n">
        <v>0</v>
      </c>
      <c r="E2" s="4" t="n">
        <v>200</v>
      </c>
      <c r="F2" s="5" t="n">
        <v>400</v>
      </c>
      <c r="G2" s="4">
        <f>F2*12</f>
        <v/>
      </c>
      <c r="H2" s="5" t="n">
        <v>99</v>
      </c>
      <c r="I2" s="4">
        <f>IF(F2=0,0,(F2-H2)/F2)</f>
        <v/>
      </c>
    </row>
    <row r="3">
      <c r="A3" s="4" t="n">
        <v>2</v>
      </c>
      <c r="B3" s="4" t="n">
        <v>5</v>
      </c>
      <c r="C3" s="4" t="n">
        <v>0</v>
      </c>
      <c r="D3" s="4" t="n">
        <v>0</v>
      </c>
      <c r="E3" s="4" t="n">
        <v>600</v>
      </c>
      <c r="F3" s="5" t="n">
        <v>1200</v>
      </c>
      <c r="G3" s="4">
        <f>F3*12</f>
        <v/>
      </c>
      <c r="H3" s="5" t="n">
        <v>110</v>
      </c>
      <c r="I3" s="4">
        <f>IF(F3=0,0,(F3-H3)/F3)</f>
        <v/>
      </c>
    </row>
    <row r="4">
      <c r="A4" s="4" t="n">
        <v>3</v>
      </c>
      <c r="B4" s="4" t="n">
        <v>10</v>
      </c>
      <c r="C4" s="4" t="n">
        <v>1</v>
      </c>
      <c r="D4" s="4" t="n">
        <v>5</v>
      </c>
      <c r="E4" s="4" t="n">
        <v>1500</v>
      </c>
      <c r="F4" s="5" t="n">
        <v>3000</v>
      </c>
      <c r="G4" s="4">
        <f>F4*12</f>
        <v/>
      </c>
      <c r="H4" s="5" t="n">
        <v>200</v>
      </c>
      <c r="I4" s="4">
        <f>IF(F4=0,0,(F4-H4)/F4)</f>
        <v/>
      </c>
    </row>
    <row r="5">
      <c r="A5" s="4" t="n">
        <v>4</v>
      </c>
      <c r="B5" s="4" t="n">
        <v>13</v>
      </c>
      <c r="C5" s="4" t="n">
        <v>2</v>
      </c>
      <c r="D5" s="4" t="n">
        <v>15</v>
      </c>
      <c r="E5" s="4" t="n">
        <v>2500</v>
      </c>
      <c r="F5" s="5" t="n">
        <v>4500</v>
      </c>
      <c r="G5" s="4">
        <f>F5*12</f>
        <v/>
      </c>
      <c r="H5" s="5" t="n">
        <v>250</v>
      </c>
      <c r="I5" s="4">
        <f>IF(F5=0,0,(F5-H5)/F5)</f>
        <v/>
      </c>
    </row>
    <row r="6">
      <c r="A6" s="4" t="n">
        <v>5</v>
      </c>
      <c r="B6" s="4" t="n">
        <v>15</v>
      </c>
      <c r="C6" s="4" t="n">
        <v>3</v>
      </c>
      <c r="D6" s="4" t="n">
        <v>25</v>
      </c>
      <c r="E6" s="4" t="n">
        <v>3500</v>
      </c>
      <c r="F6" s="5" t="n">
        <v>6000</v>
      </c>
      <c r="G6" s="4">
        <f>F6*12</f>
        <v/>
      </c>
      <c r="H6" s="5" t="n">
        <v>300</v>
      </c>
      <c r="I6" s="4">
        <f>IF(F6=0,0,(F6-H6)/F6)</f>
        <v/>
      </c>
    </row>
    <row r="7">
      <c r="A7" s="4" t="n">
        <v>6</v>
      </c>
      <c r="B7" s="4" t="n">
        <v>18</v>
      </c>
      <c r="C7" s="4" t="n">
        <v>6</v>
      </c>
      <c r="D7" s="4" t="n">
        <v>50</v>
      </c>
      <c r="E7" s="4" t="n">
        <v>7000</v>
      </c>
      <c r="F7" s="5" t="n">
        <v>11000</v>
      </c>
      <c r="G7" s="4">
        <f>F7*12</f>
        <v/>
      </c>
      <c r="H7" s="5" t="n">
        <v>445</v>
      </c>
      <c r="I7" s="4">
        <f>IF(F7=0,0,(F7-H7)/F7)</f>
        <v/>
      </c>
    </row>
    <row r="8">
      <c r="A8" s="4" t="n">
        <v>7</v>
      </c>
      <c r="B8" s="4" t="n">
        <v>20</v>
      </c>
      <c r="C8" s="4" t="n">
        <v>8</v>
      </c>
      <c r="D8" s="4" t="n">
        <v>70</v>
      </c>
      <c r="E8" s="4" t="n">
        <v>9000</v>
      </c>
      <c r="F8" s="5" t="n">
        <v>14000</v>
      </c>
      <c r="G8" s="4">
        <f>F8*12</f>
        <v/>
      </c>
      <c r="H8" s="5" t="n">
        <v>445</v>
      </c>
      <c r="I8" s="4">
        <f>IF(F8=0,0,(F8-H8)/F8)</f>
        <v/>
      </c>
    </row>
    <row r="9">
      <c r="A9" s="4" t="n">
        <v>8</v>
      </c>
      <c r="B9" s="4" t="n">
        <v>22</v>
      </c>
      <c r="C9" s="4" t="n">
        <v>10</v>
      </c>
      <c r="D9" s="4" t="n">
        <v>90</v>
      </c>
      <c r="E9" s="4" t="n">
        <v>12000</v>
      </c>
      <c r="F9" s="5" t="n">
        <v>18000</v>
      </c>
      <c r="G9" s="4">
        <f>F9*12</f>
        <v/>
      </c>
      <c r="H9" s="5" t="n">
        <v>445</v>
      </c>
      <c r="I9" s="4">
        <f>IF(F9=0,0,(F9-H9)/F9)</f>
        <v/>
      </c>
    </row>
    <row r="10">
      <c r="A10" s="4" t="n">
        <v>9</v>
      </c>
      <c r="B10" s="4" t="n">
        <v>25</v>
      </c>
      <c r="C10" s="4" t="n">
        <v>12</v>
      </c>
      <c r="D10" s="4" t="n">
        <v>110</v>
      </c>
      <c r="E10" s="4" t="n">
        <v>15000</v>
      </c>
      <c r="F10" s="5" t="n">
        <v>22000</v>
      </c>
      <c r="G10" s="4">
        <f>F10*12</f>
        <v/>
      </c>
      <c r="H10" s="5" t="n">
        <v>500</v>
      </c>
      <c r="I10" s="4">
        <f>IF(F10=0,0,(F10-H10)/F10)</f>
        <v/>
      </c>
    </row>
    <row r="11">
      <c r="A11" s="4" t="n">
        <v>10</v>
      </c>
      <c r="B11" s="4" t="n">
        <v>28</v>
      </c>
      <c r="C11" s="4" t="n">
        <v>15</v>
      </c>
      <c r="D11" s="4" t="n">
        <v>140</v>
      </c>
      <c r="E11" s="4" t="n">
        <v>20000</v>
      </c>
      <c r="F11" s="5" t="n">
        <v>28000</v>
      </c>
      <c r="G11" s="4">
        <f>F11*12</f>
        <v/>
      </c>
      <c r="H11" s="5" t="n">
        <v>600</v>
      </c>
      <c r="I11" s="4">
        <f>IF(F11=0,0,(F11-H11)/F11)</f>
        <v/>
      </c>
    </row>
    <row r="12">
      <c r="A12" s="4" t="n">
        <v>11</v>
      </c>
      <c r="B12" s="4" t="n">
        <v>32</v>
      </c>
      <c r="C12" s="4" t="n">
        <v>18</v>
      </c>
      <c r="D12" s="4" t="n">
        <v>170</v>
      </c>
      <c r="E12" s="4" t="n">
        <v>25000</v>
      </c>
      <c r="F12" s="5" t="n">
        <v>33000</v>
      </c>
      <c r="G12" s="4">
        <f>F12*12</f>
        <v/>
      </c>
      <c r="H12" s="5" t="n">
        <v>700</v>
      </c>
      <c r="I12" s="4">
        <f>IF(F12=0,0,(F12-H12)/F12)</f>
        <v/>
      </c>
    </row>
    <row r="13">
      <c r="A13" s="4" t="n">
        <v>12</v>
      </c>
      <c r="B13" s="4" t="n">
        <v>35</v>
      </c>
      <c r="C13" s="4" t="n">
        <v>20</v>
      </c>
      <c r="D13" s="4" t="n">
        <v>200</v>
      </c>
      <c r="E13" s="4" t="n">
        <v>30000</v>
      </c>
      <c r="F13" s="5" t="n">
        <v>38000</v>
      </c>
      <c r="G13" s="4">
        <f>F13*12</f>
        <v/>
      </c>
      <c r="H13" s="5" t="n">
        <v>800</v>
      </c>
      <c r="I13" s="4">
        <f>IF(F13=0,0,(F13-H13)/F13)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20" customWidth="1" min="4" max="4"/>
    <col width="14" customWidth="1" min="5" max="5"/>
    <col width="17" customWidth="1" min="6" max="6"/>
    <col width="19" customWidth="1" min="7" max="7"/>
    <col width="14" customWidth="1" min="8" max="8"/>
  </cols>
  <sheetData>
    <row r="1">
      <c r="A1" s="1" t="inlineStr">
        <is>
          <t>Volume Tier</t>
        </is>
      </c>
      <c r="B1" s="1" t="inlineStr">
        <is>
          <t>KavachIQ Price</t>
        </is>
      </c>
      <c r="C1" s="1" t="inlineStr">
        <is>
          <t>Discount</t>
        </is>
      </c>
      <c r="D1" s="1" t="inlineStr">
        <is>
          <t>Suggested Resale</t>
        </is>
      </c>
      <c r="E1" s="1" t="inlineStr">
        <is>
          <t>MSP Margin</t>
        </is>
      </c>
      <c r="F1" s="1" t="inlineStr">
        <is>
          <t>Example Users</t>
        </is>
      </c>
      <c r="G1" s="1" t="inlineStr">
        <is>
          <t>KavachIQ Rev/mo</t>
        </is>
      </c>
      <c r="H1" s="1" t="inlineStr">
        <is>
          <t>MSP Rev/mo</t>
        </is>
      </c>
    </row>
    <row r="2">
      <c r="A2" s="4" t="inlineStr">
        <is>
          <t>1-500 users</t>
        </is>
      </c>
      <c r="B2" s="5" t="n">
        <v>1.5</v>
      </c>
      <c r="C2" s="7" t="n">
        <v>0</v>
      </c>
      <c r="D2" s="5" t="n">
        <v>5</v>
      </c>
      <c r="E2" s="4">
        <f>1-(B2/D2)</f>
        <v/>
      </c>
      <c r="F2" s="4" t="n">
        <v>300</v>
      </c>
      <c r="G2" s="4">
        <f>B2*F2</f>
        <v/>
      </c>
      <c r="H2" s="4">
        <f>D2*F2</f>
        <v/>
      </c>
    </row>
    <row r="3">
      <c r="A3" s="4" t="inlineStr">
        <is>
          <t>501-2,000</t>
        </is>
      </c>
      <c r="B3" s="5" t="n">
        <v>1.25</v>
      </c>
      <c r="C3" s="7" t="n">
        <v>0.17</v>
      </c>
      <c r="D3" s="5" t="n">
        <v>5</v>
      </c>
      <c r="E3" s="4">
        <f>1-(B3/D3)</f>
        <v/>
      </c>
      <c r="F3" s="4" t="n">
        <v>1500</v>
      </c>
      <c r="G3" s="4">
        <f>B3*F3</f>
        <v/>
      </c>
      <c r="H3" s="4">
        <f>D3*F3</f>
        <v/>
      </c>
    </row>
    <row r="4">
      <c r="A4" s="4" t="inlineStr">
        <is>
          <t>2,001-5,000</t>
        </is>
      </c>
      <c r="B4" s="5" t="n">
        <v>1</v>
      </c>
      <c r="C4" s="7" t="n">
        <v>0.33</v>
      </c>
      <c r="D4" s="5" t="n">
        <v>5</v>
      </c>
      <c r="E4" s="4">
        <f>1-(B4/D4)</f>
        <v/>
      </c>
      <c r="F4" s="4" t="n">
        <v>4000</v>
      </c>
      <c r="G4" s="4">
        <f>B4*F4</f>
        <v/>
      </c>
      <c r="H4" s="4">
        <f>D4*F4</f>
        <v/>
      </c>
    </row>
    <row r="5">
      <c r="A5" s="4" t="inlineStr">
        <is>
          <t>5,001+</t>
        </is>
      </c>
      <c r="B5" s="5" t="n">
        <v>0.85</v>
      </c>
      <c r="C5" s="7" t="n">
        <v>0.43</v>
      </c>
      <c r="D5" s="5" t="n">
        <v>5</v>
      </c>
      <c r="E5" s="4">
        <f>1-(B5/D5)</f>
        <v/>
      </c>
      <c r="F5" s="4" t="n">
        <v>8000</v>
      </c>
      <c r="G5" s="4">
        <f>B5*F5</f>
        <v/>
      </c>
      <c r="H5" s="4">
        <f>D5*F5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4" customWidth="1" min="4" max="4"/>
    <col width="22" customWidth="1" min="5" max="5"/>
  </cols>
  <sheetData>
    <row r="1">
      <c r="A1" s="1" t="inlineStr">
        <is>
          <t>Metric</t>
        </is>
      </c>
      <c r="B1" s="1" t="inlineStr">
        <is>
          <t>Professional</t>
        </is>
      </c>
      <c r="C1" s="1" t="inlineStr">
        <is>
          <t>Business</t>
        </is>
      </c>
      <c r="D1" s="1" t="inlineStr">
        <is>
          <t>Enterprise</t>
        </is>
      </c>
      <c r="E1" s="1" t="inlineStr">
        <is>
          <t>Industry Benchmark</t>
        </is>
      </c>
    </row>
    <row r="2">
      <c r="A2" s="8" t="inlineStr">
        <is>
          <t>ARPU (monthly)</t>
        </is>
      </c>
      <c r="B2" s="4" t="inlineStr">
        <is>
          <t>$1.50</t>
        </is>
      </c>
      <c r="C2" s="4" t="inlineStr">
        <is>
          <t>$3.00</t>
        </is>
      </c>
      <c r="D2" s="4" t="inlineStr">
        <is>
          <t>$5.00</t>
        </is>
      </c>
      <c r="E2" s="4" t="inlineStr">
        <is>
          <t>$4-8</t>
        </is>
      </c>
    </row>
    <row r="3">
      <c r="A3" s="8" t="inlineStr">
        <is>
          <t>ARPU (annual)</t>
        </is>
      </c>
      <c r="B3" s="4" t="inlineStr">
        <is>
          <t>$18</t>
        </is>
      </c>
      <c r="C3" s="4" t="inlineStr">
        <is>
          <t>$36</t>
        </is>
      </c>
      <c r="D3" s="4" t="inlineStr">
        <is>
          <t>$60</t>
        </is>
      </c>
      <c r="E3" s="4" t="inlineStr">
        <is>
          <t>$48-96</t>
        </is>
      </c>
    </row>
    <row r="4">
      <c r="A4" s="8" t="inlineStr">
        <is>
          <t>Infra cost/user/mo</t>
        </is>
      </c>
      <c r="B4" s="4" t="inlineStr">
        <is>
          <t>$0.70</t>
        </is>
      </c>
      <c r="C4" s="4" t="inlineStr">
        <is>
          <t>$0.55</t>
        </is>
      </c>
      <c r="D4" s="4" t="inlineStr">
        <is>
          <t>$0.45</t>
        </is>
      </c>
      <c r="E4" s="4" t="inlineStr">
        <is>
          <t>$0.50-1.50</t>
        </is>
      </c>
    </row>
    <row r="5">
      <c r="A5" s="8" t="inlineStr">
        <is>
          <t>Stripe fee %</t>
        </is>
      </c>
      <c r="B5" s="4" t="inlineStr">
        <is>
          <t>7.3%</t>
        </is>
      </c>
      <c r="C5" s="4" t="inlineStr">
        <is>
          <t>5.3%</t>
        </is>
      </c>
      <c r="D5" s="4" t="inlineStr">
        <is>
          <t>4.4%</t>
        </is>
      </c>
      <c r="E5" s="4" t="inlineStr">
        <is>
          <t>2.9-4%</t>
        </is>
      </c>
    </row>
    <row r="6">
      <c r="A6" s="8" t="inlineStr">
        <is>
          <t>Gross margin %</t>
        </is>
      </c>
      <c r="B6" s="4" t="inlineStr">
        <is>
          <t>46-56%</t>
        </is>
      </c>
      <c r="C6" s="4" t="inlineStr">
        <is>
          <t>76-81%</t>
        </is>
      </c>
      <c r="D6" s="4" t="inlineStr">
        <is>
          <t>87-91%</t>
        </is>
      </c>
      <c r="E6" s="4" t="inlineStr">
        <is>
          <t>70-80%</t>
        </is>
      </c>
    </row>
    <row r="7">
      <c r="A7" s="8" t="inlineStr">
        <is>
          <t>LTV (3 years)</t>
        </is>
      </c>
      <c r="B7" s="4" t="inlineStr">
        <is>
          <t>$54</t>
        </is>
      </c>
      <c r="C7" s="4" t="inlineStr">
        <is>
          <t>$108</t>
        </is>
      </c>
      <c r="D7" s="4" t="inlineStr">
        <is>
          <t>$180</t>
        </is>
      </c>
      <c r="E7" s="4" t="inlineStr">
        <is>
          <t>$150-300</t>
        </is>
      </c>
    </row>
    <row r="8">
      <c r="A8" s="8" t="inlineStr">
        <is>
          <t>Target CAC</t>
        </is>
      </c>
      <c r="B8" s="4" t="inlineStr">
        <is>
          <t>$18</t>
        </is>
      </c>
      <c r="C8" s="4" t="inlineStr">
        <is>
          <t>$36</t>
        </is>
      </c>
      <c r="D8" s="4" t="inlineStr">
        <is>
          <t>$60</t>
        </is>
      </c>
      <c r="E8" s="4" t="inlineStr">
        <is>
          <t>LTV ÷ 3</t>
        </is>
      </c>
    </row>
    <row r="9">
      <c r="A9" s="8" t="inlineStr">
        <is>
          <t>LTV:CAC ratio</t>
        </is>
      </c>
      <c r="B9" s="4" t="inlineStr">
        <is>
          <t>3:1</t>
        </is>
      </c>
      <c r="C9" s="4" t="inlineStr">
        <is>
          <t>3:1</t>
        </is>
      </c>
      <c r="D9" s="4" t="inlineStr">
        <is>
          <t>3:1</t>
        </is>
      </c>
      <c r="E9" s="4" t="inlineStr">
        <is>
          <t>&gt;3:1 target</t>
        </is>
      </c>
    </row>
    <row r="10">
      <c r="A10" s="8" t="inlineStr">
        <is>
          <t>Payback period</t>
        </is>
      </c>
      <c r="B10" s="4" t="inlineStr">
        <is>
          <t>12 mo</t>
        </is>
      </c>
      <c r="C10" s="4" t="inlineStr">
        <is>
          <t>12 mo</t>
        </is>
      </c>
      <c r="D10" s="4" t="inlineStr">
        <is>
          <t>12 mo</t>
        </is>
      </c>
      <c r="E10" s="4" t="inlineStr">
        <is>
          <t>&lt;18 mo</t>
        </is>
      </c>
    </row>
    <row r="11">
      <c r="A11" s="8" t="inlineStr">
        <is>
          <t>Trial conversion</t>
        </is>
      </c>
      <c r="B11" s="4" t="inlineStr">
        <is>
          <t>25%</t>
        </is>
      </c>
      <c r="C11" s="4" t="inlineStr">
        <is>
          <t>30%</t>
        </is>
      </c>
      <c r="D11" s="4" t="inlineStr">
        <is>
          <t>35%</t>
        </is>
      </c>
      <c r="E11" s="4" t="inlineStr">
        <is>
          <t>20-30%</t>
        </is>
      </c>
    </row>
    <row r="12">
      <c r="A12" s="8" t="inlineStr">
        <is>
          <t>Churn target</t>
        </is>
      </c>
      <c r="B12" s="4" t="inlineStr">
        <is>
          <t>&lt;3%/mo</t>
        </is>
      </c>
      <c r="C12" s="4" t="inlineStr">
        <is>
          <t>&lt;2%/mo</t>
        </is>
      </c>
      <c r="D12" s="4" t="inlineStr">
        <is>
          <t>&lt;1%/mo</t>
        </is>
      </c>
      <c r="E12" s="4" t="inlineStr">
        <is>
          <t>&lt;5%/mo</t>
        </is>
      </c>
    </row>
    <row r="13">
      <c r="A13" s="8" t="inlineStr">
        <is>
          <t>Net dollar retention</t>
        </is>
      </c>
      <c r="B13" s="4" t="inlineStr">
        <is>
          <t>100%</t>
        </is>
      </c>
      <c r="C13" s="4" t="inlineStr">
        <is>
          <t>110%</t>
        </is>
      </c>
      <c r="D13" s="4" t="inlineStr">
        <is>
          <t>120%</t>
        </is>
      </c>
      <c r="E13" s="4" t="inlineStr">
        <is>
          <t>&gt;100%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2026-04-07T14:52:22Z</dcterms:created>
  <dcterms:modified xsi:type="dcterms:W3CDTF">2026-04-07T14:52:22Z</dcterms:modified>
</cp:coreProperties>
</file>